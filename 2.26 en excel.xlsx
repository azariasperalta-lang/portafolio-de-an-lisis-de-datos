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9B8F582E-28EB-44A2-B1FE-72582F939FA8}" xr6:coauthVersionLast="47" xr6:coauthVersionMax="47" xr10:uidLastSave="{00000000-0000-0000-0000-000000000000}"/>
  <bookViews>
    <workbookView xWindow="-120" yWindow="-120" windowWidth="29040" windowHeight="16440" xr2:uid="{D14753CB-299D-48A9-B914-5C77AB9B3892}"/>
  </bookViews>
  <sheets>
    <sheet name="Fecha,País,Estado,Producto,Cant" sheetId="2" r:id="rId1"/>
    <sheet name="Hoja1" sheetId="1" r:id="rId2"/>
  </sheets>
  <definedNames>
    <definedName name="DatosExternos_1" localSheetId="0" hidden="1">'Fecha,País,Estado,Producto,Cant'!$A$1:$J$6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6" i="2"/>
  <c r="J5" i="2"/>
  <c r="J4" i="2"/>
  <c r="J2" i="2"/>
  <c r="I4" i="2"/>
  <c r="I6" i="2"/>
  <c r="I5" i="2"/>
  <c r="I3" i="2"/>
  <c r="H3" i="2"/>
  <c r="H2" i="2"/>
  <c r="I2" i="2"/>
  <c r="H5" i="2"/>
  <c r="H6" i="2"/>
  <c r="H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EADF20-18CC-4F4D-B9B1-7CB714078086}" keepAlive="1" name="Consulta - Fecha,País,Estado,Producto,Cantidad" description="Conexión a la consulta 'Fecha,País,Estado,Producto,Cantidad' en el libro." type="5" refreshedVersion="7" background="1" saveData="1">
    <dbPr connection="Provider=Microsoft.Mashup.OleDb.1;Data Source=$Workbook$;Location=Fecha,País,Estado,Producto,Cantidad;Extended Properties=&quot;&quot;" command="SELECT * FROM [Fecha,País,Estado,Producto,Cantidad]"/>
  </connection>
</connections>
</file>

<file path=xl/sharedStrings.xml><?xml version="1.0" encoding="utf-8"?>
<sst xmlns="http://schemas.openxmlformats.org/spreadsheetml/2006/main" count="25" uniqueCount="25">
  <si>
    <t>Fecha</t>
  </si>
  <si>
    <t>PaÃ­s</t>
  </si>
  <si>
    <t>Estado</t>
  </si>
  <si>
    <t>Producto</t>
  </si>
  <si>
    <t>Cantidad_Pedida</t>
  </si>
  <si>
    <t>Costo_Unitario</t>
  </si>
  <si>
    <t>Precio_Unitario</t>
  </si>
  <si>
    <t>Costo_Total</t>
  </si>
  <si>
    <t>Ingresos</t>
  </si>
  <si>
    <t>Ganancia</t>
  </si>
  <si>
    <t>Estados Unidos</t>
  </si>
  <si>
    <t>California</t>
  </si>
  <si>
    <t>Jalisco</t>
  </si>
  <si>
    <t>Escritorio Modular</t>
  </si>
  <si>
    <t>Madrid</t>
  </si>
  <si>
    <t>Argentina</t>
  </si>
  <si>
    <t>Buenos Aires</t>
  </si>
  <si>
    <t>Organizador Malla</t>
  </si>
  <si>
    <t>Colombia</t>
  </si>
  <si>
    <t>Cundinamarca</t>
  </si>
  <si>
    <t xml:space="preserve"> España</t>
  </si>
  <si>
    <t>Mexico</t>
  </si>
  <si>
    <t xml:space="preserve"> Lampara LED</t>
  </si>
  <si>
    <t xml:space="preserve">Silla egonamica </t>
  </si>
  <si>
    <t>Calculadora Cientifica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</si>
</sst>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03598D1-6219-408E-9A06-49B79CA1AA1E}" autoFormatId="16" applyNumberFormats="0" applyBorderFormats="0" applyFontFormats="0" applyPatternFormats="0" applyAlignmentFormats="0" applyWidthHeightFormats="0">
  <queryTableRefresh nextId="11">
    <queryTableFields count="10">
      <queryTableField id="1" name="Fecha" tableColumnId="1"/>
      <queryTableField id="2" name="PaÃ­s" tableColumnId="2"/>
      <queryTableField id="3" name="Estado" tableColumnId="3"/>
      <queryTableField id="4" name="Producto" tableColumnId="4"/>
      <queryTableField id="5" name="Cantidad_Pedida" tableColumnId="5"/>
      <queryTableField id="6" name="Costo_Unitario" tableColumnId="6"/>
      <queryTableField id="7" name="Precio_Unitario" tableColumnId="7"/>
      <queryTableField id="8" name="Costo_Total" tableColumnId="8"/>
      <queryTableField id="9" name="Ingresos" tableColumnId="9"/>
      <queryTableField id="10" name="Ganancia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86BA2A-0495-4F6C-BAD9-730A134C7D04}" name="Fecha_País_Estado_Producto_Cantidad" displayName="Fecha_País_Estado_Producto_Cantidad" ref="A1:J6" tableType="queryTable" totalsRowShown="0">
  <autoFilter ref="A1:J6" xr:uid="{0186BA2A-0495-4F6C-BAD9-730A134C7D04}"/>
  <tableColumns count="10">
    <tableColumn id="1" xr3:uid="{77972BB0-910F-4A6C-B886-FD92F4359EED}" uniqueName="1" name="Fecha" queryTableFieldId="1" dataDxfId="8"/>
    <tableColumn id="2" xr3:uid="{C0175B84-818F-4534-887D-08121DD7F622}" uniqueName="2" name="PaÃ­s" queryTableFieldId="2" dataDxfId="7"/>
    <tableColumn id="3" xr3:uid="{8E66D0A1-8FBB-46BD-80D5-E9947E7C99FA}" uniqueName="3" name="Estado" queryTableFieldId="3" dataDxfId="6"/>
    <tableColumn id="4" xr3:uid="{AF4A043D-19C8-4E6C-A266-C8039806F546}" uniqueName="4" name="Producto" queryTableFieldId="4" dataDxfId="5"/>
    <tableColumn id="5" xr3:uid="{759D121D-4FD6-4CFA-9A19-411980673E91}" uniqueName="5" name="Cantidad_Pedida" queryTableFieldId="5"/>
    <tableColumn id="6" xr3:uid="{EE31E75F-89FE-4B56-B0B3-CF7D6BE23523}" uniqueName="6" name="Costo_Unitario" queryTableFieldId="6" dataDxfId="4"/>
    <tableColumn id="7" xr3:uid="{2E756DA9-1EF0-4B61-847D-C5BB55B1590B}" uniqueName="7" name="Precio_Unitario" queryTableFieldId="7" dataDxfId="3"/>
    <tableColumn id="8" xr3:uid="{BC393B2B-44F5-4335-AB21-E67D5A2F3751}" uniqueName="8" name="Costo_Total" queryTableFieldId="8" dataDxfId="2"/>
    <tableColumn id="9" xr3:uid="{30C535BB-D334-43F3-B4E7-317D60EAD739}" uniqueName="9" name="Ingresos" queryTableFieldId="9" dataDxfId="1"/>
    <tableColumn id="10" xr3:uid="{541AB44D-9200-4F14-AD3F-C746F341B0B6}" uniqueName="10" name="Ganancia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D34E-3279-46E4-8CF0-29927702F5EB}">
  <dimension ref="A1:J6"/>
  <sheetViews>
    <sheetView tabSelected="1" workbookViewId="0">
      <selection activeCell="F11" sqref="F11"/>
    </sheetView>
  </sheetViews>
  <sheetFormatPr baseColWidth="10" defaultRowHeight="15" x14ac:dyDescent="0.25"/>
  <cols>
    <col min="1" max="1" width="10.7109375" bestFit="1" customWidth="1"/>
    <col min="2" max="2" width="14.28515625" bestFit="1" customWidth="1"/>
    <col min="3" max="3" width="13.5703125" bestFit="1" customWidth="1"/>
    <col min="4" max="4" width="21.85546875" bestFit="1" customWidth="1"/>
    <col min="5" max="5" width="18.42578125" bestFit="1" customWidth="1"/>
    <col min="6" max="6" width="16.5703125" bestFit="1" customWidth="1"/>
    <col min="7" max="7" width="17.140625" bestFit="1" customWidth="1"/>
    <col min="8" max="8" width="13.7109375" bestFit="1" customWidth="1"/>
    <col min="9" max="9" width="10.7109375" bestFit="1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>
        <v>46082</v>
      </c>
      <c r="B2" s="2" t="s">
        <v>10</v>
      </c>
      <c r="C2" s="2" t="s">
        <v>11</v>
      </c>
      <c r="D2" s="2" t="s">
        <v>23</v>
      </c>
      <c r="E2">
        <v>10</v>
      </c>
      <c r="F2" s="2">
        <v>45</v>
      </c>
      <c r="G2" s="2">
        <v>85</v>
      </c>
      <c r="H2" s="2">
        <f>E2*F2</f>
        <v>450</v>
      </c>
      <c r="I2" s="2">
        <f>E2*G2</f>
        <v>850</v>
      </c>
      <c r="J2" s="2">
        <f>I2-H2</f>
        <v>400</v>
      </c>
    </row>
    <row r="3" spans="1:10" x14ac:dyDescent="0.25">
      <c r="A3" s="1">
        <v>46083</v>
      </c>
      <c r="B3" s="2" t="s">
        <v>21</v>
      </c>
      <c r="C3" s="2" t="s">
        <v>12</v>
      </c>
      <c r="D3" s="2" t="s">
        <v>13</v>
      </c>
      <c r="E3">
        <v>5</v>
      </c>
      <c r="F3" s="2">
        <v>120</v>
      </c>
      <c r="G3" s="2">
        <v>210</v>
      </c>
      <c r="H3" s="2">
        <f>E3*F3</f>
        <v>600</v>
      </c>
      <c r="I3" s="2">
        <f>E3*G3</f>
        <v>1050</v>
      </c>
      <c r="J3" s="2">
        <f>I3-H3</f>
        <v>450</v>
      </c>
    </row>
    <row r="4" spans="1:10" x14ac:dyDescent="0.25">
      <c r="A4" s="1">
        <v>46084</v>
      </c>
      <c r="B4" s="2" t="s">
        <v>20</v>
      </c>
      <c r="C4" s="2" t="s">
        <v>14</v>
      </c>
      <c r="D4" s="2" t="s">
        <v>22</v>
      </c>
      <c r="E4">
        <v>15</v>
      </c>
      <c r="F4" s="2">
        <v>1800</v>
      </c>
      <c r="G4" s="2">
        <v>3500</v>
      </c>
      <c r="H4" s="2">
        <f>E4*F4</f>
        <v>27000</v>
      </c>
      <c r="I4" s="2">
        <f>E4*G4</f>
        <v>52500</v>
      </c>
      <c r="J4" s="2">
        <f>I4-H4</f>
        <v>25500</v>
      </c>
    </row>
    <row r="5" spans="1:10" x14ac:dyDescent="0.25">
      <c r="A5" s="1">
        <v>46085</v>
      </c>
      <c r="B5" s="2" t="s">
        <v>15</v>
      </c>
      <c r="C5" s="2" t="s">
        <v>16</v>
      </c>
      <c r="D5" s="2" t="s">
        <v>17</v>
      </c>
      <c r="E5">
        <v>8</v>
      </c>
      <c r="F5" s="2">
        <v>1200</v>
      </c>
      <c r="G5" s="2">
        <v>2500</v>
      </c>
      <c r="H5" s="2">
        <f>E5*F5</f>
        <v>9600</v>
      </c>
      <c r="I5" s="2">
        <f>E5*G5</f>
        <v>20000</v>
      </c>
      <c r="J5" s="2">
        <f>I5-H5</f>
        <v>10400</v>
      </c>
    </row>
    <row r="6" spans="1:10" x14ac:dyDescent="0.25">
      <c r="A6" s="1">
        <v>46086</v>
      </c>
      <c r="B6" s="2" t="s">
        <v>18</v>
      </c>
      <c r="C6" s="2" t="s">
        <v>19</v>
      </c>
      <c r="D6" s="2" t="s">
        <v>24</v>
      </c>
      <c r="E6">
        <v>12</v>
      </c>
      <c r="F6" s="2">
        <v>2500</v>
      </c>
      <c r="G6" s="2">
        <v>4800</v>
      </c>
      <c r="H6" s="2">
        <f>E6*F6</f>
        <v>30000</v>
      </c>
      <c r="I6" s="2">
        <f>E6*G6</f>
        <v>57600</v>
      </c>
      <c r="J6" s="2">
        <f>I6-H6</f>
        <v>27600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0DEC-98D6-45B6-948B-65C149D9469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22E3A6-C63E-469A-882A-A1A7F7DEC9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Fecha,País,Estado,Producto,Cant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2026-10-11T17:38:27Z</dcterms:created>
  <dcterms:modified xsi:type="dcterms:W3CDTF">2026-10-11T17:44:45Z</dcterms:modified>
</cp:coreProperties>
</file>