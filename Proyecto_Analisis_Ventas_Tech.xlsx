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D02C8EF-0CC5-4611-8CC7-713A33398C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men Executive" sheetId="1" r:id="rId1"/>
    <sheet name="Datos_Ven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A5" i="1"/>
  <c r="C5" i="1"/>
  <c r="D13" i="1"/>
  <c r="D12" i="1"/>
  <c r="D11" i="1"/>
  <c r="D10" i="1"/>
  <c r="F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24" i="2" s="1"/>
  <c r="B14" i="1"/>
  <c r="C14" i="1" l="1"/>
  <c r="D14" i="1" l="1"/>
</calcChain>
</file>

<file path=xl/sharedStrings.xml><?xml version="1.0" encoding="utf-8"?>
<sst xmlns="http://schemas.openxmlformats.org/spreadsheetml/2006/main" count="125" uniqueCount="79">
  <si>
    <t>DASHBOARD DE RENDIMIENTO - PORTAFOLIO DE DATOS</t>
  </si>
  <si>
    <t>TOTAL VENTAS ($)</t>
  </si>
  <si>
    <t>UNIDADES VENDIDAS</t>
  </si>
  <si>
    <t>TICKET PROMEDIO</t>
  </si>
  <si>
    <t>RESUMEN POR REGIÓN</t>
  </si>
  <si>
    <t>Región</t>
  </si>
  <si>
    <t>Unidades</t>
  </si>
  <si>
    <t>Ventas Totales ($)</t>
  </si>
  <si>
    <t>% del Total</t>
  </si>
  <si>
    <t>Norte</t>
  </si>
  <si>
    <t>Sur</t>
  </si>
  <si>
    <t>Este</t>
  </si>
  <si>
    <t>Oeste</t>
  </si>
  <si>
    <t>Total</t>
  </si>
  <si>
    <t>REGISTRO DE VENTAS TECNOLÓGICAS - 2026</t>
  </si>
  <si>
    <t>ID Transacción</t>
  </si>
  <si>
    <t>Fecha</t>
  </si>
  <si>
    <t>Categoría</t>
  </si>
  <si>
    <t>Producto</t>
  </si>
  <si>
    <t>Precio Unitario ($)</t>
  </si>
  <si>
    <t>TRX-1001</t>
  </si>
  <si>
    <t>2026-01-05</t>
  </si>
  <si>
    <t>Computadores</t>
  </si>
  <si>
    <t>Laptop Pro 15</t>
  </si>
  <si>
    <t>TRX-1002</t>
  </si>
  <si>
    <t>2026-01-08</t>
  </si>
  <si>
    <t>Accesorios</t>
  </si>
  <si>
    <t>Teclado Mecánico</t>
  </si>
  <si>
    <t>TRX-1003</t>
  </si>
  <si>
    <t>2026-01-10</t>
  </si>
  <si>
    <t>Monitores</t>
  </si>
  <si>
    <t>Monitor 27'' UHD</t>
  </si>
  <si>
    <t>TRX-1004</t>
  </si>
  <si>
    <t>2026-01-12</t>
  </si>
  <si>
    <t>Audio</t>
  </si>
  <si>
    <t>Auriculares Noise-Cancelling</t>
  </si>
  <si>
    <t>TRX-1005</t>
  </si>
  <si>
    <t>2026-01-15</t>
  </si>
  <si>
    <t>Laptop Slim 13</t>
  </si>
  <si>
    <t>TRX-1006</t>
  </si>
  <si>
    <t>2026-01-18</t>
  </si>
  <si>
    <t>Smartwatches</t>
  </si>
  <si>
    <t>Reloj Deportivo GPS</t>
  </si>
  <si>
    <t>TRX-1007</t>
  </si>
  <si>
    <t>2026-01-20</t>
  </si>
  <si>
    <t>Monitor Curvo 34''</t>
  </si>
  <si>
    <t>TRX-1008</t>
  </si>
  <si>
    <t>2026-01-22</t>
  </si>
  <si>
    <t>Mouse Ergonómico</t>
  </si>
  <si>
    <t>TRX-1009</t>
  </si>
  <si>
    <t>2026-01-25</t>
  </si>
  <si>
    <t>Parlante Bluetooth</t>
  </si>
  <si>
    <t>TRX-1010</t>
  </si>
  <si>
    <t>2026-01-28</t>
  </si>
  <si>
    <t>Desktop Gaming</t>
  </si>
  <si>
    <t>TRX-1011</t>
  </si>
  <si>
    <t>2026-02-02</t>
  </si>
  <si>
    <t>Smartband Fitness</t>
  </si>
  <si>
    <t>TRX-1012</t>
  </si>
  <si>
    <t>2026-02-05</t>
  </si>
  <si>
    <t>Hub USB-C 8 en 1</t>
  </si>
  <si>
    <t>TRX-1013</t>
  </si>
  <si>
    <t>2026-02-08</t>
  </si>
  <si>
    <t>TRX-1014</t>
  </si>
  <si>
    <t>2026-02-12</t>
  </si>
  <si>
    <t>TRX-1015</t>
  </si>
  <si>
    <t>2026-02-15</t>
  </si>
  <si>
    <t>TRX-1016</t>
  </si>
  <si>
    <t>2026-02-18</t>
  </si>
  <si>
    <t>TRX-1017</t>
  </si>
  <si>
    <t>2026-02-20</t>
  </si>
  <si>
    <t>TRX-1018</t>
  </si>
  <si>
    <t>2026-02-22</t>
  </si>
  <si>
    <t>TRX-1019</t>
  </si>
  <si>
    <t>2026-02-25</t>
  </si>
  <si>
    <t>TRX-1020</t>
  </si>
  <si>
    <t>2026-02-27</t>
  </si>
  <si>
    <t>TOTAL GENERAL</t>
  </si>
  <si>
    <t>Análisis preparado por: Aeryn Arias | Proyecto de Ejemplo para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</si>
</sst>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10"/>
      <color rgb="FF1A202C"/>
      <name val="Arial"/>
    </font>
    <font>
      <b/>
      <sz val="10"/>
      <color rgb="FF1A202C"/>
      <name val="Arial"/>
    </font>
    <font>
      <b/>
      <sz val="9"/>
      <color rgb="FF4A5568"/>
      <name val="Arial"/>
    </font>
    <font>
      <b/>
      <sz val="18"/>
      <color rgb="FF1F3A60"/>
      <name val="Arial"/>
    </font>
    <font>
      <b/>
      <sz val="12"/>
      <color rgb="FF1F3A6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60"/>
        <bgColor rgb="FF1F3A60"/>
      </patternFill>
    </fill>
    <fill>
      <patternFill patternType="solid">
        <fgColor rgb="FF2C5282"/>
        <bgColor rgb="FF2C5282"/>
      </patternFill>
    </fill>
    <fill>
      <patternFill patternType="solid">
        <fgColor rgb="FFF7FAFC"/>
        <bgColor rgb="FFF7FAFC"/>
      </patternFill>
    </fill>
    <fill>
      <patternFill patternType="solid">
        <fgColor rgb="FFF0F4F8"/>
        <bgColor rgb="FFF0F4F8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double">
        <color rgb="FF1F3A6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3" fontId="6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2" xfId="0" applyFont="1" applyBorder="1" applyAlignment="1">
      <alignment horizontal="righ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Ventas Totales por Región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Executive'!$C$9</c:f>
              <c:strCache>
                <c:ptCount val="1"/>
                <c:pt idx="0">
                  <c:v>Ventas Totales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'Resumen Executive'!$A$10:$A$13</c:f>
              <c:strCache>
                <c:ptCount val="4"/>
                <c:pt idx="0">
                  <c:v>Norte</c:v>
                </c:pt>
                <c:pt idx="1">
                  <c:v>Sur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'Resumen Executive'!$C$10:$C$13</c:f>
              <c:numCache>
                <c:formatCode>\$#,##0.00</c:formatCode>
                <c:ptCount val="4"/>
                <c:pt idx="0">
                  <c:v>14200</c:v>
                </c:pt>
                <c:pt idx="1">
                  <c:v>15200</c:v>
                </c:pt>
                <c:pt idx="2">
                  <c:v>20000</c:v>
                </c:pt>
                <c:pt idx="3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8-4397-89F8-4984C9BFB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Región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Monto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1" max="1" width="23" customWidth="1"/>
    <col min="2" max="3" width="62" customWidth="1"/>
    <col min="4" max="4" width="18" customWidth="1"/>
    <col min="5" max="5" width="36" customWidth="1"/>
    <col min="6" max="7" width="14" customWidth="1"/>
  </cols>
  <sheetData>
    <row r="1" spans="1:7" ht="39.950000000000003" customHeight="1" x14ac:dyDescent="0.25">
      <c r="A1" s="19" t="s">
        <v>0</v>
      </c>
      <c r="B1" s="20"/>
      <c r="C1" s="20"/>
      <c r="D1" s="20"/>
      <c r="E1" s="20"/>
      <c r="F1" s="20"/>
      <c r="G1" s="20"/>
    </row>
    <row r="2" spans="1:7" x14ac:dyDescent="0.25">
      <c r="A2" s="23" t="s">
        <v>78</v>
      </c>
      <c r="B2" s="20"/>
      <c r="C2" s="20"/>
      <c r="D2" s="20"/>
      <c r="E2" s="20"/>
      <c r="F2" s="20"/>
      <c r="G2" s="20"/>
    </row>
    <row r="4" spans="1:7" x14ac:dyDescent="0.25">
      <c r="A4" s="17" t="s">
        <v>1</v>
      </c>
      <c r="B4" s="18"/>
      <c r="C4" s="17" t="s">
        <v>2</v>
      </c>
      <c r="D4" s="18"/>
      <c r="E4" s="17" t="s">
        <v>3</v>
      </c>
      <c r="F4" s="18"/>
    </row>
    <row r="5" spans="1:7" ht="23.25" x14ac:dyDescent="0.25">
      <c r="A5" s="22">
        <f>C14</f>
        <v>59400</v>
      </c>
      <c r="B5" s="18"/>
      <c r="C5" s="21">
        <f>B14</f>
        <v>321</v>
      </c>
      <c r="D5" s="18"/>
      <c r="E5" s="22">
        <f>A5/C5</f>
        <v>185.04672897196261</v>
      </c>
      <c r="F5" s="18"/>
    </row>
    <row r="8" spans="1:7" ht="15.75" x14ac:dyDescent="0.25">
      <c r="A8" s="1" t="s">
        <v>4</v>
      </c>
    </row>
    <row r="9" spans="1:7" x14ac:dyDescent="0.25">
      <c r="A9" s="2" t="s">
        <v>5</v>
      </c>
      <c r="B9" s="2" t="s">
        <v>6</v>
      </c>
      <c r="C9" s="2" t="s">
        <v>7</v>
      </c>
      <c r="D9" s="2" t="s">
        <v>8</v>
      </c>
    </row>
    <row r="10" spans="1:7" x14ac:dyDescent="0.25">
      <c r="A10" s="3" t="s">
        <v>9</v>
      </c>
      <c r="B10" s="4">
        <v>77</v>
      </c>
      <c r="C10" s="5">
        <v>14200</v>
      </c>
      <c r="D10" s="6">
        <f>C10/$C$14</f>
        <v>0.23905723905723905</v>
      </c>
    </row>
    <row r="11" spans="1:7" x14ac:dyDescent="0.25">
      <c r="A11" s="3" t="s">
        <v>10</v>
      </c>
      <c r="B11" s="4">
        <v>67</v>
      </c>
      <c r="C11" s="5">
        <v>15200</v>
      </c>
      <c r="D11" s="6">
        <f>C11/$C$14</f>
        <v>0.25589225589225589</v>
      </c>
    </row>
    <row r="12" spans="1:7" x14ac:dyDescent="0.25">
      <c r="A12" s="3" t="s">
        <v>11</v>
      </c>
      <c r="B12" s="4">
        <v>122</v>
      </c>
      <c r="C12" s="5">
        <v>20000</v>
      </c>
      <c r="D12" s="6">
        <f>C12/$C$14</f>
        <v>0.33670033670033672</v>
      </c>
    </row>
    <row r="13" spans="1:7" x14ac:dyDescent="0.25">
      <c r="A13" s="3" t="s">
        <v>12</v>
      </c>
      <c r="B13" s="4">
        <v>55</v>
      </c>
      <c r="C13" s="5">
        <v>10000</v>
      </c>
      <c r="D13" s="6">
        <f>C13/$C$14</f>
        <v>0.16835016835016836</v>
      </c>
    </row>
    <row r="14" spans="1:7" x14ac:dyDescent="0.25">
      <c r="A14" s="7" t="s">
        <v>13</v>
      </c>
      <c r="B14" s="8">
        <f>SUM(B10:B13)</f>
        <v>321</v>
      </c>
      <c r="C14" s="9">
        <f>SUM(C10:C13)</f>
        <v>59400</v>
      </c>
      <c r="D14" s="10">
        <f>SUM(D10:D13)</f>
        <v>1</v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baseColWidth="10" defaultColWidth="9.140625" defaultRowHeight="15" x14ac:dyDescent="0.25"/>
  <cols>
    <col min="1" max="1" width="19" customWidth="1"/>
    <col min="2" max="2" width="15" customWidth="1"/>
    <col min="3" max="3" width="17" customWidth="1"/>
    <col min="4" max="4" width="33" customWidth="1"/>
    <col min="5" max="5" width="14" customWidth="1"/>
    <col min="6" max="6" width="17" customWidth="1"/>
    <col min="7" max="7" width="24" customWidth="1"/>
    <col min="8" max="8" width="23" customWidth="1"/>
  </cols>
  <sheetData>
    <row r="1" spans="1:8" ht="39.950000000000003" customHeight="1" x14ac:dyDescent="0.25">
      <c r="A1" s="19" t="s">
        <v>14</v>
      </c>
      <c r="B1" s="20"/>
      <c r="C1" s="20"/>
      <c r="D1" s="20"/>
      <c r="E1" s="20"/>
      <c r="F1" s="20"/>
      <c r="G1" s="20"/>
      <c r="H1" s="20"/>
    </row>
    <row r="3" spans="1:8" ht="24.95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5</v>
      </c>
      <c r="F3" s="2" t="s">
        <v>6</v>
      </c>
      <c r="G3" s="2" t="s">
        <v>19</v>
      </c>
      <c r="H3" s="2" t="s">
        <v>7</v>
      </c>
    </row>
    <row r="4" spans="1:8" x14ac:dyDescent="0.25">
      <c r="A4" s="3" t="s">
        <v>20</v>
      </c>
      <c r="B4" s="3" t="s">
        <v>21</v>
      </c>
      <c r="C4" s="11" t="s">
        <v>22</v>
      </c>
      <c r="D4" s="11" t="s">
        <v>23</v>
      </c>
      <c r="E4" s="3" t="s">
        <v>9</v>
      </c>
      <c r="F4" s="4">
        <v>5</v>
      </c>
      <c r="G4" s="5">
        <v>1200</v>
      </c>
      <c r="H4" s="5">
        <f t="shared" ref="H4:H23" si="0">F4*G4</f>
        <v>6000</v>
      </c>
    </row>
    <row r="5" spans="1:8" x14ac:dyDescent="0.25">
      <c r="A5" s="12" t="s">
        <v>24</v>
      </c>
      <c r="B5" s="12" t="s">
        <v>25</v>
      </c>
      <c r="C5" s="13" t="s">
        <v>26</v>
      </c>
      <c r="D5" s="13" t="s">
        <v>27</v>
      </c>
      <c r="E5" s="12" t="s">
        <v>10</v>
      </c>
      <c r="F5" s="14">
        <v>12</v>
      </c>
      <c r="G5" s="15">
        <v>85</v>
      </c>
      <c r="H5" s="15">
        <f t="shared" si="0"/>
        <v>1020</v>
      </c>
    </row>
    <row r="6" spans="1:8" x14ac:dyDescent="0.25">
      <c r="A6" s="3" t="s">
        <v>28</v>
      </c>
      <c r="B6" s="3" t="s">
        <v>29</v>
      </c>
      <c r="C6" s="11" t="s">
        <v>30</v>
      </c>
      <c r="D6" s="11" t="s">
        <v>31</v>
      </c>
      <c r="E6" s="3" t="s">
        <v>11</v>
      </c>
      <c r="F6" s="4">
        <v>8</v>
      </c>
      <c r="G6" s="5">
        <v>350</v>
      </c>
      <c r="H6" s="5">
        <f t="shared" si="0"/>
        <v>2800</v>
      </c>
    </row>
    <row r="7" spans="1:8" x14ac:dyDescent="0.25">
      <c r="A7" s="12" t="s">
        <v>32</v>
      </c>
      <c r="B7" s="12" t="s">
        <v>33</v>
      </c>
      <c r="C7" s="13" t="s">
        <v>34</v>
      </c>
      <c r="D7" s="13" t="s">
        <v>35</v>
      </c>
      <c r="E7" s="12" t="s">
        <v>12</v>
      </c>
      <c r="F7" s="14">
        <v>15</v>
      </c>
      <c r="G7" s="15">
        <v>150</v>
      </c>
      <c r="H7" s="15">
        <f t="shared" si="0"/>
        <v>2250</v>
      </c>
    </row>
    <row r="8" spans="1:8" x14ac:dyDescent="0.25">
      <c r="A8" s="3" t="s">
        <v>36</v>
      </c>
      <c r="B8" s="3" t="s">
        <v>37</v>
      </c>
      <c r="C8" s="11" t="s">
        <v>22</v>
      </c>
      <c r="D8" s="11" t="s">
        <v>38</v>
      </c>
      <c r="E8" s="3" t="s">
        <v>9</v>
      </c>
      <c r="F8" s="4">
        <v>3</v>
      </c>
      <c r="G8" s="5">
        <v>950</v>
      </c>
      <c r="H8" s="5">
        <f t="shared" si="0"/>
        <v>2850</v>
      </c>
    </row>
    <row r="9" spans="1:8" x14ac:dyDescent="0.25">
      <c r="A9" s="12" t="s">
        <v>39</v>
      </c>
      <c r="B9" s="12" t="s">
        <v>40</v>
      </c>
      <c r="C9" s="13" t="s">
        <v>41</v>
      </c>
      <c r="D9" s="13" t="s">
        <v>42</v>
      </c>
      <c r="E9" s="12" t="s">
        <v>10</v>
      </c>
      <c r="F9" s="14">
        <v>20</v>
      </c>
      <c r="G9" s="15">
        <v>210</v>
      </c>
      <c r="H9" s="15">
        <f t="shared" si="0"/>
        <v>4200</v>
      </c>
    </row>
    <row r="10" spans="1:8" x14ac:dyDescent="0.25">
      <c r="A10" s="3" t="s">
        <v>43</v>
      </c>
      <c r="B10" s="3" t="s">
        <v>44</v>
      </c>
      <c r="C10" s="11" t="s">
        <v>30</v>
      </c>
      <c r="D10" s="11" t="s">
        <v>45</v>
      </c>
      <c r="E10" s="3" t="s">
        <v>9</v>
      </c>
      <c r="F10" s="4">
        <v>4</v>
      </c>
      <c r="G10" s="5">
        <v>650</v>
      </c>
      <c r="H10" s="5">
        <f t="shared" si="0"/>
        <v>2600</v>
      </c>
    </row>
    <row r="11" spans="1:8" x14ac:dyDescent="0.25">
      <c r="A11" s="12" t="s">
        <v>46</v>
      </c>
      <c r="B11" s="12" t="s">
        <v>47</v>
      </c>
      <c r="C11" s="13" t="s">
        <v>26</v>
      </c>
      <c r="D11" s="13" t="s">
        <v>48</v>
      </c>
      <c r="E11" s="12" t="s">
        <v>11</v>
      </c>
      <c r="F11" s="14">
        <v>25</v>
      </c>
      <c r="G11" s="15">
        <v>45</v>
      </c>
      <c r="H11" s="15">
        <f t="shared" si="0"/>
        <v>1125</v>
      </c>
    </row>
    <row r="12" spans="1:8" x14ac:dyDescent="0.25">
      <c r="A12" s="3" t="s">
        <v>49</v>
      </c>
      <c r="B12" s="3" t="s">
        <v>50</v>
      </c>
      <c r="C12" s="11" t="s">
        <v>34</v>
      </c>
      <c r="D12" s="11" t="s">
        <v>51</v>
      </c>
      <c r="E12" s="3" t="s">
        <v>12</v>
      </c>
      <c r="F12" s="4">
        <v>10</v>
      </c>
      <c r="G12" s="5">
        <v>110</v>
      </c>
      <c r="H12" s="5">
        <f t="shared" si="0"/>
        <v>1100</v>
      </c>
    </row>
    <row r="13" spans="1:8" x14ac:dyDescent="0.25">
      <c r="A13" s="12" t="s">
        <v>52</v>
      </c>
      <c r="B13" s="12" t="s">
        <v>53</v>
      </c>
      <c r="C13" s="13" t="s">
        <v>22</v>
      </c>
      <c r="D13" s="13" t="s">
        <v>54</v>
      </c>
      <c r="E13" s="12" t="s">
        <v>10</v>
      </c>
      <c r="F13" s="14">
        <v>2</v>
      </c>
      <c r="G13" s="15">
        <v>1800</v>
      </c>
      <c r="H13" s="15">
        <f t="shared" si="0"/>
        <v>3600</v>
      </c>
    </row>
    <row r="14" spans="1:8" x14ac:dyDescent="0.25">
      <c r="A14" s="3" t="s">
        <v>55</v>
      </c>
      <c r="B14" s="3" t="s">
        <v>56</v>
      </c>
      <c r="C14" s="11" t="s">
        <v>41</v>
      </c>
      <c r="D14" s="11" t="s">
        <v>57</v>
      </c>
      <c r="E14" s="3" t="s">
        <v>9</v>
      </c>
      <c r="F14" s="4">
        <v>30</v>
      </c>
      <c r="G14" s="5">
        <v>50</v>
      </c>
      <c r="H14" s="5">
        <f t="shared" si="0"/>
        <v>1500</v>
      </c>
    </row>
    <row r="15" spans="1:8" x14ac:dyDescent="0.25">
      <c r="A15" s="12" t="s">
        <v>58</v>
      </c>
      <c r="B15" s="12" t="s">
        <v>59</v>
      </c>
      <c r="C15" s="13" t="s">
        <v>26</v>
      </c>
      <c r="D15" s="13" t="s">
        <v>60</v>
      </c>
      <c r="E15" s="12" t="s">
        <v>11</v>
      </c>
      <c r="F15" s="14">
        <v>18</v>
      </c>
      <c r="G15" s="15">
        <v>65</v>
      </c>
      <c r="H15" s="15">
        <f t="shared" si="0"/>
        <v>1170</v>
      </c>
    </row>
    <row r="16" spans="1:8" x14ac:dyDescent="0.25">
      <c r="A16" s="3" t="s">
        <v>61</v>
      </c>
      <c r="B16" s="3" t="s">
        <v>62</v>
      </c>
      <c r="C16" s="11" t="s">
        <v>30</v>
      </c>
      <c r="D16" s="11" t="s">
        <v>31</v>
      </c>
      <c r="E16" s="3" t="s">
        <v>12</v>
      </c>
      <c r="F16" s="4">
        <v>6</v>
      </c>
      <c r="G16" s="5">
        <v>350</v>
      </c>
      <c r="H16" s="5">
        <f t="shared" si="0"/>
        <v>2100</v>
      </c>
    </row>
    <row r="17" spans="1:8" x14ac:dyDescent="0.25">
      <c r="A17" s="12" t="s">
        <v>63</v>
      </c>
      <c r="B17" s="12" t="s">
        <v>64</v>
      </c>
      <c r="C17" s="13" t="s">
        <v>22</v>
      </c>
      <c r="D17" s="13" t="s">
        <v>23</v>
      </c>
      <c r="E17" s="12" t="s">
        <v>10</v>
      </c>
      <c r="F17" s="14">
        <v>4</v>
      </c>
      <c r="G17" s="15">
        <v>1200</v>
      </c>
      <c r="H17" s="15">
        <f t="shared" si="0"/>
        <v>4800</v>
      </c>
    </row>
    <row r="18" spans="1:8" x14ac:dyDescent="0.25">
      <c r="A18" s="3" t="s">
        <v>65</v>
      </c>
      <c r="B18" s="3" t="s">
        <v>66</v>
      </c>
      <c r="C18" s="11" t="s">
        <v>34</v>
      </c>
      <c r="D18" s="11" t="s">
        <v>35</v>
      </c>
      <c r="E18" s="3" t="s">
        <v>9</v>
      </c>
      <c r="F18" s="4">
        <v>9</v>
      </c>
      <c r="G18" s="5">
        <v>150</v>
      </c>
      <c r="H18" s="5">
        <f t="shared" si="0"/>
        <v>1350</v>
      </c>
    </row>
    <row r="19" spans="1:8" x14ac:dyDescent="0.25">
      <c r="A19" s="12" t="s">
        <v>67</v>
      </c>
      <c r="B19" s="12" t="s">
        <v>68</v>
      </c>
      <c r="C19" s="13" t="s">
        <v>41</v>
      </c>
      <c r="D19" s="13" t="s">
        <v>42</v>
      </c>
      <c r="E19" s="12" t="s">
        <v>11</v>
      </c>
      <c r="F19" s="14">
        <v>14</v>
      </c>
      <c r="G19" s="15">
        <v>210</v>
      </c>
      <c r="H19" s="15">
        <f t="shared" si="0"/>
        <v>2940</v>
      </c>
    </row>
    <row r="20" spans="1:8" x14ac:dyDescent="0.25">
      <c r="A20" s="3" t="s">
        <v>69</v>
      </c>
      <c r="B20" s="3" t="s">
        <v>70</v>
      </c>
      <c r="C20" s="11" t="s">
        <v>26</v>
      </c>
      <c r="D20" s="11" t="s">
        <v>27</v>
      </c>
      <c r="E20" s="3" t="s">
        <v>12</v>
      </c>
      <c r="F20" s="4">
        <v>10</v>
      </c>
      <c r="G20" s="5">
        <v>85</v>
      </c>
      <c r="H20" s="5">
        <f t="shared" si="0"/>
        <v>850</v>
      </c>
    </row>
    <row r="21" spans="1:8" x14ac:dyDescent="0.25">
      <c r="A21" s="12" t="s">
        <v>71</v>
      </c>
      <c r="B21" s="12" t="s">
        <v>72</v>
      </c>
      <c r="C21" s="13" t="s">
        <v>22</v>
      </c>
      <c r="D21" s="13" t="s">
        <v>38</v>
      </c>
      <c r="E21" s="12" t="s">
        <v>10</v>
      </c>
      <c r="F21" s="14">
        <v>7</v>
      </c>
      <c r="G21" s="15">
        <v>950</v>
      </c>
      <c r="H21" s="15">
        <f t="shared" si="0"/>
        <v>6650</v>
      </c>
    </row>
    <row r="22" spans="1:8" x14ac:dyDescent="0.25">
      <c r="A22" s="3" t="s">
        <v>73</v>
      </c>
      <c r="B22" s="3" t="s">
        <v>74</v>
      </c>
      <c r="C22" s="11" t="s">
        <v>30</v>
      </c>
      <c r="D22" s="11" t="s">
        <v>45</v>
      </c>
      <c r="E22" s="3" t="s">
        <v>11</v>
      </c>
      <c r="F22" s="4">
        <v>5</v>
      </c>
      <c r="G22" s="5">
        <v>650</v>
      </c>
      <c r="H22" s="5">
        <f t="shared" si="0"/>
        <v>3250</v>
      </c>
    </row>
    <row r="23" spans="1:8" x14ac:dyDescent="0.25">
      <c r="A23" s="12" t="s">
        <v>75</v>
      </c>
      <c r="B23" s="12" t="s">
        <v>76</v>
      </c>
      <c r="C23" s="13" t="s">
        <v>34</v>
      </c>
      <c r="D23" s="13" t="s">
        <v>51</v>
      </c>
      <c r="E23" s="12" t="s">
        <v>9</v>
      </c>
      <c r="F23" s="14">
        <v>12</v>
      </c>
      <c r="G23" s="15">
        <v>110</v>
      </c>
      <c r="H23" s="15">
        <f t="shared" si="0"/>
        <v>1320</v>
      </c>
    </row>
    <row r="24" spans="1:8" x14ac:dyDescent="0.25">
      <c r="A24" s="24" t="s">
        <v>77</v>
      </c>
      <c r="B24" s="25"/>
      <c r="C24" s="25"/>
      <c r="D24" s="25"/>
      <c r="E24" s="25"/>
      <c r="F24" s="8">
        <f>SUM(F4:F23)</f>
        <v>219</v>
      </c>
      <c r="G24" s="16"/>
      <c r="H24" s="9">
        <f>SUM(H4:H23)</f>
        <v>53475</v>
      </c>
    </row>
  </sheetData>
  <mergeCells count="2">
    <mergeCell ref="A24:E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Executive</vt:lpstr>
      <vt:lpstr>Datos_Ventas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2026-08-24T18:34:10Z</dcterms:created>
  <dcterms:modified xsi:type="dcterms:W3CDTF">2026-10-11T16:21:02Z</dcterms:modified>
</cp:coreProperties>
</file>